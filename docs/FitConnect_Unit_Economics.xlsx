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Model" sheetId="1" state="visible" r:id="rId1"/>
    <sheet name="Payment Processing" sheetId="2" state="visible" r:id="rId2"/>
    <sheet name="Operating Costs" sheetId="3" state="visible" r:id="rId3"/>
    <sheet name="P&amp;L Summary" sheetId="4" state="visible" r:id="rId4"/>
    <sheet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$#,##0;($#,##0);&quot;-&quot;"/>
    <numFmt numFmtId="166" formatCode="0.0%"/>
    <numFmt numFmtId="167" formatCode="$#,##0.00;($#,##0.00);&quot;-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88888"/>
      <sz val="10"/>
    </font>
    <font>
      <name val="Arial"/>
      <b val="1"/>
      <color rgb="00FFFFFF"/>
      <sz val="11"/>
    </font>
    <font>
      <name val="Arial"/>
      <sz val="11"/>
    </font>
    <font>
      <name val="Arial"/>
      <color rgb="000000FF"/>
      <sz val="11"/>
    </font>
    <font>
      <name val="Arial"/>
      <color rgb="00000000"/>
      <sz val="11"/>
    </font>
    <font>
      <name val="Arial"/>
      <color rgb="00008000"/>
      <sz val="11"/>
    </font>
    <font>
      <name val="Arial"/>
      <b val="1"/>
      <sz val="11"/>
    </font>
    <font>
      <name val="Arial"/>
      <b val="1"/>
      <color rgb="00008000"/>
      <sz val="11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C5A059"/>
      </patternFill>
    </fill>
    <fill>
      <patternFill patternType="solid">
        <fgColor rgb="001A1A1A"/>
      </patternFill>
    </fill>
    <fill>
      <patternFill patternType="solid">
        <fgColor rgb="00FFFF00"/>
      </patternFill>
    </fill>
    <fill>
      <patternFill patternType="solid">
        <fgColor rgb="00E8E0D0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bottom style="medium">
        <color rgb="001A1A1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wrapText="1"/>
    </xf>
    <xf numFmtId="0" fontId="4" fillId="0" borderId="1" pivotButton="0" quotePrefix="0" xfId="0"/>
    <xf numFmtId="164" fontId="5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0" fontId="4" fillId="4" borderId="0" pivotButton="0" quotePrefix="0" xfId="0"/>
    <xf numFmtId="166" fontId="5" fillId="0" borderId="0" applyAlignment="1" pivotButton="0" quotePrefix="0" xfId="0">
      <alignment horizontal="center"/>
    </xf>
    <xf numFmtId="0" fontId="4" fillId="0" borderId="0" pivotButton="0" quotePrefix="0" xfId="0"/>
    <xf numFmtId="165" fontId="6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0" fontId="8" fillId="5" borderId="2" pivotButton="0" quotePrefix="0" xfId="0"/>
    <xf numFmtId="165" fontId="8" fillId="5" borderId="2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167" fontId="5" fillId="0" borderId="1" applyAlignment="1" pivotButton="0" quotePrefix="0" xfId="0">
      <alignment horizontal="center"/>
    </xf>
    <xf numFmtId="167" fontId="6" fillId="0" borderId="1" applyAlignment="1" pivotButton="0" quotePrefix="0" xfId="0">
      <alignment horizontal="center"/>
    </xf>
    <xf numFmtId="167" fontId="7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66" fontId="5" fillId="4" borderId="1" applyAlignment="1" pivotButton="0" quotePrefix="0" xfId="0">
      <alignment horizontal="center"/>
    </xf>
    <xf numFmtId="0" fontId="0" fillId="5" borderId="2" pivotButton="0" quotePrefix="0" xfId="0"/>
    <xf numFmtId="167" fontId="8" fillId="5" borderId="2" applyAlignment="1" pivotButton="0" quotePrefix="0" xfId="0">
      <alignment horizontal="center"/>
    </xf>
    <xf numFmtId="0" fontId="9" fillId="0" borderId="0" pivotButton="0" quotePrefix="0" xfId="0"/>
    <xf numFmtId="167" fontId="9" fillId="0" borderId="0" applyAlignment="1" pivotButton="0" quotePrefix="0" xfId="0">
      <alignment horizontal="center"/>
    </xf>
    <xf numFmtId="0" fontId="8" fillId="0" borderId="0" pivotButton="0" quotePrefix="0" xfId="0"/>
    <xf numFmtId="164" fontId="5" fillId="0" borderId="0" applyAlignment="1" pivotButton="0" quotePrefix="0" xfId="0">
      <alignment horizontal="center"/>
    </xf>
    <xf numFmtId="0" fontId="8" fillId="6" borderId="2" pivotButton="0" quotePrefix="0" xfId="0"/>
    <xf numFmtId="165" fontId="8" fillId="6" borderId="2" applyAlignment="1" pivotButton="0" quotePrefix="0" xfId="0">
      <alignment horizontal="center"/>
    </xf>
    <xf numFmtId="0" fontId="8" fillId="7" borderId="2" pivotButton="0" quotePrefix="0" xfId="0"/>
    <xf numFmtId="165" fontId="8" fillId="7" borderId="2" applyAlignment="1" pivotButton="0" quotePrefix="0" xfId="0">
      <alignment horizontal="center"/>
    </xf>
    <xf numFmtId="165" fontId="10" fillId="5" borderId="2" applyAlignment="1" pivotButton="0" quotePrefix="0" xfId="0">
      <alignment horizontal="center"/>
    </xf>
    <xf numFmtId="166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0" fontId="8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FitConnect — Unit Economics Model</t>
        </is>
      </c>
    </row>
    <row r="2">
      <c r="A2" s="2" t="inlineStr">
        <is>
          <t>Luxury Fitness Marketplace | Smart Scheduling</t>
        </is>
      </c>
    </row>
    <row r="4">
      <c r="A4" s="3" t="inlineStr">
        <is>
          <t>CORE ASSUMPTIONS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Assumption</t>
        </is>
      </c>
      <c r="B5" s="5" t="inlineStr">
        <is>
          <t>Month 1</t>
        </is>
      </c>
      <c r="C5" s="5" t="inlineStr">
        <is>
          <t>Month 3</t>
        </is>
      </c>
      <c r="D5" s="5" t="inlineStr">
        <is>
          <t>Month 6</t>
        </is>
      </c>
      <c r="E5" s="5" t="inlineStr">
        <is>
          <t>Month 12</t>
        </is>
      </c>
      <c r="F5" s="5" t="inlineStr">
        <is>
          <t>Month 18</t>
        </is>
      </c>
      <c r="G5" s="5" t="inlineStr">
        <is>
          <t>Month 24</t>
        </is>
      </c>
    </row>
    <row r="6">
      <c r="A6" s="6" t="inlineStr">
        <is>
          <t>Active Trainers</t>
        </is>
      </c>
      <c r="B6" s="7" t="n">
        <v>50</v>
      </c>
      <c r="C6" s="7" t="n">
        <v>150</v>
      </c>
      <c r="D6" s="7" t="n">
        <v>400</v>
      </c>
      <c r="E6" s="7" t="n">
        <v>1000</v>
      </c>
      <c r="F6" s="7" t="n">
        <v>2000</v>
      </c>
      <c r="G6" s="7" t="n">
        <v>3500</v>
      </c>
    </row>
    <row r="7">
      <c r="A7" s="6" t="inlineStr">
        <is>
          <t>Avg Bookings / Trainer / Month</t>
        </is>
      </c>
      <c r="B7" s="7" t="n">
        <v>4</v>
      </c>
      <c r="C7" s="7" t="n">
        <v>6</v>
      </c>
      <c r="D7" s="7" t="n">
        <v>8</v>
      </c>
      <c r="E7" s="7" t="n">
        <v>10</v>
      </c>
      <c r="F7" s="7" t="n">
        <v>12</v>
      </c>
      <c r="G7" s="7" t="n">
        <v>14</v>
      </c>
    </row>
    <row r="8">
      <c r="A8" s="6" t="inlineStr">
        <is>
          <t>Total Monthly Bookings</t>
        </is>
      </c>
      <c r="B8" s="8">
        <f>B6*B7</f>
        <v/>
      </c>
      <c r="C8" s="8">
        <f>C6*C7</f>
        <v/>
      </c>
      <c r="D8" s="8">
        <f>D6*D7</f>
        <v/>
      </c>
      <c r="E8" s="8">
        <f>E6*E7</f>
        <v/>
      </c>
      <c r="F8" s="8">
        <f>F6*F7</f>
        <v/>
      </c>
      <c r="G8" s="8">
        <f>G6*G7</f>
        <v/>
      </c>
    </row>
    <row r="9">
      <c r="A9" s="6" t="inlineStr">
        <is>
          <t>Avg Session Rate (Trainer-Set)</t>
        </is>
      </c>
      <c r="B9" s="9" t="n">
        <v>40</v>
      </c>
      <c r="C9" s="9" t="n">
        <v>42</v>
      </c>
      <c r="D9" s="9" t="n">
        <v>45</v>
      </c>
      <c r="E9" s="9" t="n">
        <v>48</v>
      </c>
      <c r="F9" s="9" t="n">
        <v>50</v>
      </c>
      <c r="G9" s="9" t="n">
        <v>52</v>
      </c>
    </row>
    <row r="10">
      <c r="A10" s="6" t="inlineStr">
        <is>
          <t>Gross Booking Volume (GMV)</t>
        </is>
      </c>
      <c r="B10" s="10">
        <f>B8*B9</f>
        <v/>
      </c>
      <c r="C10" s="10">
        <f>C8*C9</f>
        <v/>
      </c>
      <c r="D10" s="10">
        <f>D8*D9</f>
        <v/>
      </c>
      <c r="E10" s="10">
        <f>E8*E9</f>
        <v/>
      </c>
      <c r="F10" s="10">
        <f>F8*F9</f>
        <v/>
      </c>
      <c r="G10" s="10">
        <f>G8*G9</f>
        <v/>
      </c>
    </row>
    <row r="12">
      <c r="A12" s="3" t="inlineStr">
        <is>
          <t>PLATFORM FEE SCENARIOS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Fee Structure</t>
        </is>
      </c>
      <c r="B13" s="5" t="inlineStr">
        <is>
          <t>Month 1</t>
        </is>
      </c>
      <c r="C13" s="5" t="inlineStr">
        <is>
          <t>Month 3</t>
        </is>
      </c>
      <c r="D13" s="5" t="inlineStr">
        <is>
          <t>Month 6</t>
        </is>
      </c>
      <c r="E13" s="5" t="inlineStr">
        <is>
          <t>Month 12</t>
        </is>
      </c>
      <c r="F13" s="5" t="inlineStr">
        <is>
          <t>Month 18</t>
        </is>
      </c>
      <c r="G13" s="5" t="inlineStr">
        <is>
          <t>Month 24</t>
        </is>
      </c>
    </row>
    <row r="14">
      <c r="A14" s="11" t="inlineStr">
        <is>
          <t>Fee Rate — Scenario A: 5%</t>
        </is>
      </c>
      <c r="B14" s="12" t="n">
        <v>0.05</v>
      </c>
      <c r="C14" s="12" t="n">
        <v>0.05</v>
      </c>
      <c r="D14" s="12" t="n">
        <v>0.05</v>
      </c>
      <c r="E14" s="12" t="n">
        <v>0.05</v>
      </c>
      <c r="F14" s="12" t="n">
        <v>0.05</v>
      </c>
      <c r="G14" s="12" t="n">
        <v>0.05</v>
      </c>
    </row>
    <row r="15">
      <c r="A15" s="13" t="inlineStr">
        <is>
          <t>Revenue — Scenario A: 5%</t>
        </is>
      </c>
      <c r="B15" s="14">
        <f>B10*B14</f>
        <v/>
      </c>
      <c r="C15" s="14">
        <f>C10*C14</f>
        <v/>
      </c>
      <c r="D15" s="14">
        <f>D10*D14</f>
        <v/>
      </c>
      <c r="E15" s="14">
        <f>E10*E14</f>
        <v/>
      </c>
      <c r="F15" s="14">
        <f>F10*F14</f>
        <v/>
      </c>
      <c r="G15" s="14">
        <f>G10*G14</f>
        <v/>
      </c>
    </row>
    <row r="16">
      <c r="A16" s="11" t="inlineStr">
        <is>
          <t>Fee Rate — Scenario B: 8%</t>
        </is>
      </c>
      <c r="B16" s="12" t="n">
        <v>0.08</v>
      </c>
      <c r="C16" s="12" t="n">
        <v>0.08</v>
      </c>
      <c r="D16" s="12" t="n">
        <v>0.08</v>
      </c>
      <c r="E16" s="12" t="n">
        <v>0.08</v>
      </c>
      <c r="F16" s="12" t="n">
        <v>0.08</v>
      </c>
      <c r="G16" s="12" t="n">
        <v>0.08</v>
      </c>
    </row>
    <row r="17">
      <c r="A17" s="13" t="inlineStr">
        <is>
          <t>Revenue — Scenario B: 8%</t>
        </is>
      </c>
      <c r="B17" s="14">
        <f>B10*B16</f>
        <v/>
      </c>
      <c r="C17" s="14">
        <f>C10*C16</f>
        <v/>
      </c>
      <c r="D17" s="14">
        <f>D10*D16</f>
        <v/>
      </c>
      <c r="E17" s="14">
        <f>E10*E16</f>
        <v/>
      </c>
      <c r="F17" s="14">
        <f>F10*F16</f>
        <v/>
      </c>
      <c r="G17" s="14">
        <f>G10*G16</f>
        <v/>
      </c>
    </row>
    <row r="18">
      <c r="A18" s="11" t="inlineStr">
        <is>
          <t>Fee Rate — Scenario C: 10%</t>
        </is>
      </c>
      <c r="B18" s="12" t="n">
        <v>0.1</v>
      </c>
      <c r="C18" s="12" t="n">
        <v>0.1</v>
      </c>
      <c r="D18" s="12" t="n">
        <v>0.1</v>
      </c>
      <c r="E18" s="12" t="n">
        <v>0.1</v>
      </c>
      <c r="F18" s="12" t="n">
        <v>0.1</v>
      </c>
      <c r="G18" s="12" t="n">
        <v>0.1</v>
      </c>
    </row>
    <row r="19">
      <c r="A19" s="13" t="inlineStr">
        <is>
          <t>Revenue — Scenario C: 10%</t>
        </is>
      </c>
      <c r="B19" s="14">
        <f>B10*B18</f>
        <v/>
      </c>
      <c r="C19" s="14">
        <f>C10*C18</f>
        <v/>
      </c>
      <c r="D19" s="14">
        <f>D10*D18</f>
        <v/>
      </c>
      <c r="E19" s="14">
        <f>E10*E18</f>
        <v/>
      </c>
      <c r="F19" s="14">
        <f>F10*F18</f>
        <v/>
      </c>
      <c r="G19" s="14">
        <f>G10*G18</f>
        <v/>
      </c>
    </row>
    <row r="20">
      <c r="A20" s="11" t="inlineStr">
        <is>
          <t>Fee Rate — Scenario D: 12%</t>
        </is>
      </c>
      <c r="B20" s="12" t="n">
        <v>0.12</v>
      </c>
      <c r="C20" s="12" t="n">
        <v>0.12</v>
      </c>
      <c r="D20" s="12" t="n">
        <v>0.12</v>
      </c>
      <c r="E20" s="12" t="n">
        <v>0.12</v>
      </c>
      <c r="F20" s="12" t="n">
        <v>0.12</v>
      </c>
      <c r="G20" s="12" t="n">
        <v>0.12</v>
      </c>
    </row>
    <row r="21">
      <c r="A21" s="13" t="inlineStr">
        <is>
          <t>Revenue — Scenario D: 12%</t>
        </is>
      </c>
      <c r="B21" s="14">
        <f>B10*B20</f>
        <v/>
      </c>
      <c r="C21" s="14">
        <f>C10*C20</f>
        <v/>
      </c>
      <c r="D21" s="14">
        <f>D10*D20</f>
        <v/>
      </c>
      <c r="E21" s="14">
        <f>E10*E20</f>
        <v/>
      </c>
      <c r="F21" s="14">
        <f>F10*F20</f>
        <v/>
      </c>
      <c r="G21" s="14">
        <f>G10*G20</f>
        <v/>
      </c>
    </row>
    <row r="23">
      <c r="A23" s="3" t="inlineStr">
        <is>
          <t>TRAINER SUBSCRIPTION ($5/mo)</t>
        </is>
      </c>
      <c r="B23" s="4" t="n"/>
      <c r="C23" s="4" t="n"/>
      <c r="D23" s="4" t="n"/>
      <c r="E23" s="4" t="n"/>
      <c r="F23" s="4" t="n"/>
      <c r="G23" s="4" t="n"/>
    </row>
    <row r="24">
      <c r="A24" s="5" t="inlineStr">
        <is>
          <t>Item</t>
        </is>
      </c>
      <c r="B24" s="5" t="inlineStr">
        <is>
          <t>Month 1</t>
        </is>
      </c>
      <c r="C24" s="5" t="inlineStr">
        <is>
          <t>Month 3</t>
        </is>
      </c>
      <c r="D24" s="5" t="inlineStr">
        <is>
          <t>Month 6</t>
        </is>
      </c>
      <c r="E24" s="5" t="inlineStr">
        <is>
          <t>Month 12</t>
        </is>
      </c>
      <c r="F24" s="5" t="inlineStr">
        <is>
          <t>Month 18</t>
        </is>
      </c>
      <c r="G24" s="5" t="inlineStr">
        <is>
          <t>Month 24</t>
        </is>
      </c>
    </row>
    <row r="25">
      <c r="A25" s="13" t="inlineStr">
        <is>
          <t>Subscription Price</t>
        </is>
      </c>
      <c r="B25" s="15" t="n">
        <v>5</v>
      </c>
      <c r="C25" s="15" t="n">
        <v>5</v>
      </c>
      <c r="D25" s="15" t="n">
        <v>5</v>
      </c>
      <c r="E25" s="15" t="n">
        <v>5</v>
      </c>
      <c r="F25" s="15" t="n">
        <v>5</v>
      </c>
      <c r="G25" s="15" t="n">
        <v>5</v>
      </c>
    </row>
    <row r="26">
      <c r="A26" s="11" t="inlineStr">
        <is>
          <t>Adoption Rate</t>
        </is>
      </c>
      <c r="B26" s="12" t="n">
        <v>0.05</v>
      </c>
      <c r="C26" s="12" t="n">
        <v>0.1</v>
      </c>
      <c r="D26" s="12" t="n">
        <v>0.15</v>
      </c>
      <c r="E26" s="12" t="n">
        <v>0.2</v>
      </c>
      <c r="F26" s="12" t="n">
        <v>0.25</v>
      </c>
      <c r="G26" s="12" t="n">
        <v>0.3</v>
      </c>
    </row>
    <row r="27">
      <c r="A27" s="13" t="inlineStr">
        <is>
          <t>Subscribing Trainers</t>
        </is>
      </c>
      <c r="B27" s="16">
        <f>ROUND(B6*B26,0)</f>
        <v/>
      </c>
      <c r="C27" s="16">
        <f>ROUND(C6*C26,0)</f>
        <v/>
      </c>
      <c r="D27" s="16">
        <f>ROUND(D6*D26,0)</f>
        <v/>
      </c>
      <c r="E27" s="16">
        <f>ROUND(E6*E26,0)</f>
        <v/>
      </c>
      <c r="F27" s="16">
        <f>ROUND(F6*F26,0)</f>
        <v/>
      </c>
      <c r="G27" s="16">
        <f>ROUND(G6*G26,0)</f>
        <v/>
      </c>
    </row>
    <row r="28">
      <c r="A28" s="13" t="inlineStr">
        <is>
          <t>Subscription Revenue</t>
        </is>
      </c>
      <c r="B28" s="14">
        <f>B27*B25</f>
        <v/>
      </c>
      <c r="C28" s="14">
        <f>C27*C25</f>
        <v/>
      </c>
      <c r="D28" s="14">
        <f>D27*D25</f>
        <v/>
      </c>
      <c r="E28" s="14">
        <f>E27*E25</f>
        <v/>
      </c>
      <c r="F28" s="14">
        <f>F27*F25</f>
        <v/>
      </c>
      <c r="G28" s="14">
        <f>G27*G25</f>
        <v/>
      </c>
    </row>
    <row r="30">
      <c r="A30" s="3" t="inlineStr">
        <is>
          <t>TOTAL REVENUE (8% fee)</t>
        </is>
      </c>
      <c r="B30" s="4" t="n"/>
      <c r="C30" s="4" t="n"/>
      <c r="D30" s="4" t="n"/>
      <c r="E30" s="4" t="n"/>
      <c r="F30" s="4" t="n"/>
      <c r="G30" s="4" t="n"/>
    </row>
    <row r="31">
      <c r="A31" s="5" t="inlineStr">
        <is>
          <t>Source</t>
        </is>
      </c>
      <c r="B31" s="5" t="inlineStr">
        <is>
          <t>Month 1</t>
        </is>
      </c>
      <c r="C31" s="5" t="inlineStr">
        <is>
          <t>Month 3</t>
        </is>
      </c>
      <c r="D31" s="5" t="inlineStr">
        <is>
          <t>Month 6</t>
        </is>
      </c>
      <c r="E31" s="5" t="inlineStr">
        <is>
          <t>Month 12</t>
        </is>
      </c>
      <c r="F31" s="5" t="inlineStr">
        <is>
          <t>Month 18</t>
        </is>
      </c>
      <c r="G31" s="5" t="inlineStr">
        <is>
          <t>Month 24</t>
        </is>
      </c>
    </row>
    <row r="32">
      <c r="A32" s="13" t="inlineStr">
        <is>
          <t>Platform Fee Revenue (8%)</t>
        </is>
      </c>
      <c r="B32" s="17">
        <f>B17</f>
        <v/>
      </c>
      <c r="C32" s="17">
        <f>C17</f>
        <v/>
      </c>
      <c r="D32" s="17">
        <f>D17</f>
        <v/>
      </c>
      <c r="E32" s="17">
        <f>E17</f>
        <v/>
      </c>
      <c r="F32" s="17">
        <f>F17</f>
        <v/>
      </c>
      <c r="G32" s="17">
        <f>G17</f>
        <v/>
      </c>
    </row>
    <row r="33">
      <c r="A33" s="13" t="inlineStr">
        <is>
          <t>Subscription Revenue</t>
        </is>
      </c>
      <c r="B33" s="17">
        <f>B28</f>
        <v/>
      </c>
      <c r="C33" s="17">
        <f>C28</f>
        <v/>
      </c>
      <c r="D33" s="17">
        <f>D28</f>
        <v/>
      </c>
      <c r="E33" s="17">
        <f>E28</f>
        <v/>
      </c>
      <c r="F33" s="17">
        <f>F28</f>
        <v/>
      </c>
      <c r="G33" s="17">
        <f>G28</f>
        <v/>
      </c>
    </row>
    <row r="34">
      <c r="A34" s="18" t="inlineStr">
        <is>
          <t>TOTAL GROSS REVENUE</t>
        </is>
      </c>
      <c r="B34" s="19">
        <f>B32+B33</f>
        <v/>
      </c>
      <c r="C34" s="19">
        <f>C32+C33</f>
        <v/>
      </c>
      <c r="D34" s="19">
        <f>D32+D33</f>
        <v/>
      </c>
      <c r="E34" s="19">
        <f>E32+E33</f>
        <v/>
      </c>
      <c r="F34" s="19">
        <f>F32+F33</f>
        <v/>
      </c>
      <c r="G34" s="19">
        <f>G32+G33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Payment Method Cost Comparison</t>
        </is>
      </c>
    </row>
    <row r="3">
      <c r="A3" s="3" t="inlineStr">
        <is>
          <t>PER-TRANSACTION COSTS</t>
        </is>
      </c>
      <c r="B3" s="4" t="n"/>
      <c r="C3" s="4" t="n"/>
      <c r="D3" s="4" t="n"/>
      <c r="E3" s="4" t="n"/>
    </row>
    <row r="4">
      <c r="A4" s="5" t="inlineStr">
        <is>
          <t>Payment Method</t>
        </is>
      </c>
      <c r="B4" s="5" t="inlineStr">
        <is>
          <t>Rate (%)</t>
        </is>
      </c>
      <c r="C4" s="5" t="inlineStr">
        <is>
          <t>Fixed Fee</t>
        </is>
      </c>
      <c r="D4" s="5" t="inlineStr">
        <is>
          <t>Cost on $40</t>
        </is>
      </c>
      <c r="E4" s="5" t="inlineStr">
        <is>
          <t>Cost on $55</t>
        </is>
      </c>
    </row>
    <row r="5">
      <c r="A5" s="6" t="inlineStr">
        <is>
          <t>Credit Card (Stripe)</t>
        </is>
      </c>
      <c r="B5" s="20" t="n">
        <v>0.029</v>
      </c>
      <c r="C5" s="21" t="n">
        <v>0.3</v>
      </c>
      <c r="D5" s="22">
        <f>40*B5+C5</f>
        <v/>
      </c>
      <c r="E5" s="22">
        <f>55*B5+C5</f>
        <v/>
      </c>
    </row>
    <row r="6">
      <c r="A6" s="6" t="inlineStr">
        <is>
          <t>Debit Card (Stripe)</t>
        </is>
      </c>
      <c r="B6" s="20" t="n">
        <v>0.005</v>
      </c>
      <c r="C6" s="21" t="n">
        <v>0.21</v>
      </c>
      <c r="D6" s="22">
        <f>40*B6+C6</f>
        <v/>
      </c>
      <c r="E6" s="22">
        <f>55*B6+C6</f>
        <v/>
      </c>
    </row>
    <row r="7">
      <c r="A7" s="6" t="inlineStr">
        <is>
          <t>Venmo (Business)</t>
        </is>
      </c>
      <c r="B7" s="20" t="n">
        <v>0.019</v>
      </c>
      <c r="C7" s="21" t="n">
        <v>0.1</v>
      </c>
      <c r="D7" s="22">
        <f>40*B7+C7</f>
        <v/>
      </c>
      <c r="E7" s="22">
        <f>55*B7+C7</f>
        <v/>
      </c>
    </row>
    <row r="8">
      <c r="A8" s="6" t="inlineStr">
        <is>
          <t>Zelle</t>
        </is>
      </c>
      <c r="B8" s="20" t="n">
        <v>0</v>
      </c>
      <c r="C8" s="21" t="n">
        <v>0</v>
      </c>
      <c r="D8" s="22">
        <f>40*B8+C8</f>
        <v/>
      </c>
      <c r="E8" s="22">
        <f>55*B8+C8</f>
        <v/>
      </c>
    </row>
    <row r="9">
      <c r="A9" s="6" t="inlineStr">
        <is>
          <t>Apple Pay (via Stripe)</t>
        </is>
      </c>
      <c r="B9" s="20" t="n">
        <v>0.029</v>
      </c>
      <c r="C9" s="21" t="n">
        <v>0.3</v>
      </c>
      <c r="D9" s="22">
        <f>40*B9+C9</f>
        <v/>
      </c>
      <c r="E9" s="22">
        <f>55*B9+C9</f>
        <v/>
      </c>
    </row>
    <row r="10">
      <c r="A10" s="6" t="inlineStr">
        <is>
          <t>ACH Bank Transfer</t>
        </is>
      </c>
      <c r="B10" s="20" t="n">
        <v>0.008</v>
      </c>
      <c r="C10" s="21" t="n">
        <v>0</v>
      </c>
      <c r="D10" s="22">
        <f>40*B10+C10</f>
        <v/>
      </c>
      <c r="E10" s="22">
        <f>55*B10+C10</f>
        <v/>
      </c>
    </row>
    <row r="12">
      <c r="A12" s="3" t="inlineStr">
        <is>
          <t>NET REVENUE PER BOOKING (8% fee on $40)</t>
        </is>
      </c>
      <c r="B12" s="4" t="n"/>
      <c r="C12" s="4" t="n"/>
      <c r="D12" s="4" t="n"/>
      <c r="E12" s="4" t="n"/>
    </row>
    <row r="13">
      <c r="A13" s="5" t="inlineStr">
        <is>
          <t>Payment Method</t>
        </is>
      </c>
      <c r="B13" s="5" t="inlineStr">
        <is>
          <t>Platform Fee</t>
        </is>
      </c>
      <c r="C13" s="5" t="inlineStr">
        <is>
          <t>Processing Cost</t>
        </is>
      </c>
      <c r="D13" s="5" t="inlineStr">
        <is>
          <t>Net Revenue</t>
        </is>
      </c>
      <c r="E13" s="5" t="inlineStr">
        <is>
          <t>Net Margin</t>
        </is>
      </c>
    </row>
    <row r="14">
      <c r="A14" s="6">
        <f>A5</f>
        <v/>
      </c>
      <c r="B14" s="22">
        <f>40*0.08</f>
        <v/>
      </c>
      <c r="C14" s="23">
        <f>D5</f>
        <v/>
      </c>
      <c r="D14" s="22">
        <f>B14-C14</f>
        <v/>
      </c>
      <c r="E14" s="24">
        <f>IF(B14=0,0,D14/B14)</f>
        <v/>
      </c>
    </row>
    <row r="15">
      <c r="A15" s="6">
        <f>A6</f>
        <v/>
      </c>
      <c r="B15" s="22">
        <f>40*0.08</f>
        <v/>
      </c>
      <c r="C15" s="23">
        <f>D6</f>
        <v/>
      </c>
      <c r="D15" s="22">
        <f>B15-C15</f>
        <v/>
      </c>
      <c r="E15" s="24">
        <f>IF(B15=0,0,D15/B15)</f>
        <v/>
      </c>
    </row>
    <row r="16">
      <c r="A16" s="6">
        <f>A7</f>
        <v/>
      </c>
      <c r="B16" s="22">
        <f>40*0.08</f>
        <v/>
      </c>
      <c r="C16" s="23">
        <f>D7</f>
        <v/>
      </c>
      <c r="D16" s="22">
        <f>B16-C16</f>
        <v/>
      </c>
      <c r="E16" s="24">
        <f>IF(B16=0,0,D16/B16)</f>
        <v/>
      </c>
    </row>
    <row r="17">
      <c r="A17" s="6">
        <f>A8</f>
        <v/>
      </c>
      <c r="B17" s="22">
        <f>40*0.08</f>
        <v/>
      </c>
      <c r="C17" s="23">
        <f>D8</f>
        <v/>
      </c>
      <c r="D17" s="22">
        <f>B17-C17</f>
        <v/>
      </c>
      <c r="E17" s="24">
        <f>IF(B17=0,0,D17/B17)</f>
        <v/>
      </c>
    </row>
    <row r="18">
      <c r="A18" s="6">
        <f>A9</f>
        <v/>
      </c>
      <c r="B18" s="22">
        <f>40*0.08</f>
        <v/>
      </c>
      <c r="C18" s="23">
        <f>D9</f>
        <v/>
      </c>
      <c r="D18" s="22">
        <f>B18-C18</f>
        <v/>
      </c>
      <c r="E18" s="24">
        <f>IF(B18=0,0,D18/B18)</f>
        <v/>
      </c>
    </row>
    <row r="19">
      <c r="A19" s="6">
        <f>A10</f>
        <v/>
      </c>
      <c r="B19" s="22">
        <f>40*0.08</f>
        <v/>
      </c>
      <c r="C19" s="23">
        <f>D10</f>
        <v/>
      </c>
      <c r="D19" s="22">
        <f>B19-C19</f>
        <v/>
      </c>
      <c r="E19" s="24">
        <f>IF(B19=0,0,D19/B19)</f>
        <v/>
      </c>
    </row>
    <row r="21">
      <c r="A21" s="3" t="inlineStr">
        <is>
          <t>PAYMENT MIX SCENARIOS</t>
        </is>
      </c>
      <c r="B21" s="4" t="n"/>
      <c r="C21" s="4" t="n"/>
      <c r="D21" s="4" t="n"/>
      <c r="E21" s="4" t="n"/>
    </row>
    <row r="22">
      <c r="A22" s="5" t="inlineStr">
        <is>
          <t>Payment Method</t>
        </is>
      </c>
      <c r="B22" s="5" t="inlineStr">
        <is>
          <t>Default Mix</t>
        </is>
      </c>
      <c r="C22" s="5" t="inlineStr">
        <is>
          <t>Wtd Cost</t>
        </is>
      </c>
      <c r="D22" s="5" t="inlineStr">
        <is>
          <t>Incentivized Mix</t>
        </is>
      </c>
      <c r="E22" s="5" t="inlineStr">
        <is>
          <t>Wtd Cost</t>
        </is>
      </c>
    </row>
    <row r="23">
      <c r="A23" s="6">
        <f>A5</f>
        <v/>
      </c>
      <c r="B23" s="25" t="n">
        <v>0.5</v>
      </c>
      <c r="C23" s="22">
        <f>B23*D5</f>
        <v/>
      </c>
      <c r="D23" s="25" t="n">
        <v>0.25</v>
      </c>
      <c r="E23" s="22">
        <f>D23*D5</f>
        <v/>
      </c>
    </row>
    <row r="24">
      <c r="A24" s="6">
        <f>A6</f>
        <v/>
      </c>
      <c r="B24" s="25" t="n">
        <v>0.15</v>
      </c>
      <c r="C24" s="22">
        <f>B24*D6</f>
        <v/>
      </c>
      <c r="D24" s="25" t="n">
        <v>0.25</v>
      </c>
      <c r="E24" s="22">
        <f>D24*D6</f>
        <v/>
      </c>
    </row>
    <row r="25">
      <c r="A25" s="6">
        <f>A7</f>
        <v/>
      </c>
      <c r="B25" s="25" t="n">
        <v>0.15</v>
      </c>
      <c r="C25" s="22">
        <f>B25*D7</f>
        <v/>
      </c>
      <c r="D25" s="25" t="n">
        <v>0.2</v>
      </c>
      <c r="E25" s="22">
        <f>D25*D7</f>
        <v/>
      </c>
    </row>
    <row r="26">
      <c r="A26" s="6">
        <f>A8</f>
        <v/>
      </c>
      <c r="B26" s="25" t="n">
        <v>0.1</v>
      </c>
      <c r="C26" s="22">
        <f>B26*D8</f>
        <v/>
      </c>
      <c r="D26" s="25" t="n">
        <v>0.2</v>
      </c>
      <c r="E26" s="22">
        <f>D26*D8</f>
        <v/>
      </c>
    </row>
    <row r="27">
      <c r="A27" s="6">
        <f>A9</f>
        <v/>
      </c>
      <c r="B27" s="25" t="n">
        <v>0.05</v>
      </c>
      <c r="C27" s="22">
        <f>B27*D9</f>
        <v/>
      </c>
      <c r="D27" s="25" t="n">
        <v>0.05</v>
      </c>
      <c r="E27" s="22">
        <f>D27*D9</f>
        <v/>
      </c>
    </row>
    <row r="28">
      <c r="A28" s="6">
        <f>A10</f>
        <v/>
      </c>
      <c r="B28" s="25" t="n">
        <v>0.05</v>
      </c>
      <c r="C28" s="22">
        <f>B28*D10</f>
        <v/>
      </c>
      <c r="D28" s="25" t="n">
        <v>0.05</v>
      </c>
      <c r="E28" s="22">
        <f>D28*D10</f>
        <v/>
      </c>
    </row>
    <row r="29">
      <c r="A29" s="18" t="inlineStr">
        <is>
          <t>BLENDED COST / TRANSACTION</t>
        </is>
      </c>
      <c r="B29" s="26" t="n"/>
      <c r="C29" s="27">
        <f>SUM(C23:C28)</f>
        <v/>
      </c>
      <c r="D29" s="26" t="n"/>
      <c r="E29" s="27">
        <f>SUM(E23:E28)</f>
        <v/>
      </c>
    </row>
    <row r="30">
      <c r="A30" s="28" t="inlineStr">
        <is>
          <t>SAVINGS PER TXN FROM INCENTIVIZED MIX</t>
        </is>
      </c>
      <c r="E30" s="29">
        <f>C29-E29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Monthly Operating Costs</t>
        </is>
      </c>
    </row>
    <row r="3">
      <c r="A3" s="3" t="inlineStr">
        <is>
          <t>MONTHLY COSTS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>Cost Category</t>
        </is>
      </c>
      <c r="B4" s="5" t="inlineStr">
        <is>
          <t>Month 1</t>
        </is>
      </c>
      <c r="C4" s="5" t="inlineStr">
        <is>
          <t>Month 3</t>
        </is>
      </c>
      <c r="D4" s="5" t="inlineStr">
        <is>
          <t>Month 6</t>
        </is>
      </c>
      <c r="E4" s="5" t="inlineStr">
        <is>
          <t>Month 12</t>
        </is>
      </c>
      <c r="F4" s="5" t="inlineStr">
        <is>
          <t>Month 18</t>
        </is>
      </c>
      <c r="G4" s="5" t="inlineStr">
        <is>
          <t>Month 24</t>
        </is>
      </c>
    </row>
    <row r="5">
      <c r="A5" s="6" t="inlineStr">
        <is>
          <t>Cloud Infrastructure</t>
        </is>
      </c>
      <c r="B5" s="9" t="n">
        <v>500</v>
      </c>
      <c r="C5" s="9" t="n">
        <v>800</v>
      </c>
      <c r="D5" s="9" t="n">
        <v>1500</v>
      </c>
      <c r="E5" s="9" t="n">
        <v>3000</v>
      </c>
      <c r="F5" s="9" t="n">
        <v>5000</v>
      </c>
      <c r="G5" s="9" t="n">
        <v>8000</v>
      </c>
    </row>
    <row r="6">
      <c r="A6" s="6" t="inlineStr">
        <is>
          <t>ID Verification Service</t>
        </is>
      </c>
      <c r="B6" s="9" t="n">
        <v>200</v>
      </c>
      <c r="C6" s="9" t="n">
        <v>400</v>
      </c>
      <c r="D6" s="9" t="n">
        <v>600</v>
      </c>
      <c r="E6" s="9" t="n">
        <v>800</v>
      </c>
      <c r="F6" s="9" t="n">
        <v>1000</v>
      </c>
      <c r="G6" s="9" t="n">
        <v>1200</v>
      </c>
    </row>
    <row r="7">
      <c r="A7" s="6" t="inlineStr">
        <is>
          <t>SMS / Email Services</t>
        </is>
      </c>
      <c r="B7" s="9" t="n">
        <v>100</v>
      </c>
      <c r="C7" s="9" t="n">
        <v>300</v>
      </c>
      <c r="D7" s="9" t="n">
        <v>600</v>
      </c>
      <c r="E7" s="9" t="n">
        <v>1200</v>
      </c>
      <c r="F7" s="9" t="n">
        <v>2000</v>
      </c>
      <c r="G7" s="9" t="n">
        <v>3000</v>
      </c>
    </row>
    <row r="8">
      <c r="A8" s="6" t="inlineStr">
        <is>
          <t>Calendar API</t>
        </is>
      </c>
      <c r="B8" s="9" t="n">
        <v>50</v>
      </c>
      <c r="C8" s="9" t="n">
        <v>100</v>
      </c>
      <c r="D8" s="9" t="n">
        <v>200</v>
      </c>
      <c r="E8" s="9" t="n">
        <v>400</v>
      </c>
      <c r="F8" s="9" t="n">
        <v>600</v>
      </c>
      <c r="G8" s="9" t="n">
        <v>800</v>
      </c>
    </row>
    <row r="9">
      <c r="A9" s="6" t="inlineStr">
        <is>
          <t>Customer Support</t>
        </is>
      </c>
      <c r="B9" s="9" t="n">
        <v>0</v>
      </c>
      <c r="C9" s="9" t="n">
        <v>1000</v>
      </c>
      <c r="D9" s="9" t="n">
        <v>2500</v>
      </c>
      <c r="E9" s="9" t="n">
        <v>5000</v>
      </c>
      <c r="F9" s="9" t="n">
        <v>8000</v>
      </c>
      <c r="G9" s="9" t="n">
        <v>12000</v>
      </c>
    </row>
    <row r="10">
      <c r="A10" s="6" t="inlineStr">
        <is>
          <t>Insurance / Legal</t>
        </is>
      </c>
      <c r="B10" s="9" t="n">
        <v>500</v>
      </c>
      <c r="C10" s="9" t="n">
        <v>500</v>
      </c>
      <c r="D10" s="9" t="n">
        <v>750</v>
      </c>
      <c r="E10" s="9" t="n">
        <v>1000</v>
      </c>
      <c r="F10" s="9" t="n">
        <v>1500</v>
      </c>
      <c r="G10" s="9" t="n">
        <v>2000</v>
      </c>
    </row>
    <row r="11">
      <c r="A11" s="6" t="inlineStr">
        <is>
          <t>Marketing / CAC</t>
        </is>
      </c>
      <c r="B11" s="9" t="n">
        <v>2000</v>
      </c>
      <c r="C11" s="9" t="n">
        <v>5000</v>
      </c>
      <c r="D11" s="9" t="n">
        <v>10000</v>
      </c>
      <c r="E11" s="9" t="n">
        <v>20000</v>
      </c>
      <c r="F11" s="9" t="n">
        <v>35000</v>
      </c>
      <c r="G11" s="9" t="n">
        <v>50000</v>
      </c>
    </row>
    <row r="12">
      <c r="A12" s="6" t="inlineStr">
        <is>
          <t>Misc / Contingency</t>
        </is>
      </c>
      <c r="B12" s="9" t="n">
        <v>500</v>
      </c>
      <c r="C12" s="9" t="n">
        <v>500</v>
      </c>
      <c r="D12" s="9" t="n">
        <v>1000</v>
      </c>
      <c r="E12" s="9" t="n">
        <v>1500</v>
      </c>
      <c r="F12" s="9" t="n">
        <v>2000</v>
      </c>
      <c r="G12" s="9" t="n">
        <v>3000</v>
      </c>
    </row>
    <row r="13">
      <c r="A13" s="30" t="inlineStr">
        <is>
          <t>Subtotal Fixed Costs</t>
        </is>
      </c>
      <c r="B13" s="10">
        <f>SUM(B5:B12)</f>
        <v/>
      </c>
      <c r="C13" s="10">
        <f>SUM(C5:C12)</f>
        <v/>
      </c>
      <c r="D13" s="10">
        <f>SUM(D5:D12)</f>
        <v/>
      </c>
      <c r="E13" s="10">
        <f>SUM(E5:E12)</f>
        <v/>
      </c>
      <c r="F13" s="10">
        <f>SUM(F5:F12)</f>
        <v/>
      </c>
      <c r="G13" s="10">
        <f>SUM(G5:G12)</f>
        <v/>
      </c>
    </row>
    <row r="15">
      <c r="A15" s="3" t="inlineStr">
        <is>
          <t>PER-TRAINER ONBOARDING COSTS</t>
        </is>
      </c>
      <c r="B15" s="4" t="n"/>
      <c r="C15" s="4" t="n"/>
      <c r="D15" s="4" t="n"/>
      <c r="E15" s="4" t="n"/>
      <c r="F15" s="4" t="n"/>
      <c r="G15" s="4" t="n"/>
    </row>
    <row r="16">
      <c r="A16" s="5" t="inlineStr">
        <is>
          <t>Item</t>
        </is>
      </c>
      <c r="B16" s="5" t="inlineStr">
        <is>
          <t>Month 1</t>
        </is>
      </c>
      <c r="C16" s="5" t="inlineStr">
        <is>
          <t>Month 3</t>
        </is>
      </c>
      <c r="D16" s="5" t="inlineStr">
        <is>
          <t>Month 6</t>
        </is>
      </c>
      <c r="E16" s="5" t="inlineStr">
        <is>
          <t>Month 12</t>
        </is>
      </c>
      <c r="F16" s="5" t="inlineStr">
        <is>
          <t>Month 18</t>
        </is>
      </c>
      <c r="G16" s="5" t="inlineStr">
        <is>
          <t>Month 24</t>
        </is>
      </c>
    </row>
    <row r="17">
      <c r="A17" s="13" t="inlineStr">
        <is>
          <t>New Trainers This Period</t>
        </is>
      </c>
      <c r="B17" s="31" t="n">
        <v>50</v>
      </c>
      <c r="C17" s="31" t="n">
        <v>100</v>
      </c>
      <c r="D17" s="31" t="n">
        <v>250</v>
      </c>
      <c r="E17" s="31" t="n">
        <v>600</v>
      </c>
      <c r="F17" s="31" t="n">
        <v>1000</v>
      </c>
      <c r="G17" s="31" t="n">
        <v>1500</v>
      </c>
    </row>
    <row r="18">
      <c r="A18" s="11" t="inlineStr">
        <is>
          <t>Background Check ($/trainer)</t>
        </is>
      </c>
      <c r="B18" s="15" t="n">
        <v>35</v>
      </c>
      <c r="C18" s="15" t="n">
        <v>35</v>
      </c>
      <c r="D18" s="15" t="n">
        <v>35</v>
      </c>
      <c r="E18" s="15" t="n">
        <v>35</v>
      </c>
      <c r="F18" s="15" t="n">
        <v>35</v>
      </c>
      <c r="G18" s="15" t="n">
        <v>35</v>
      </c>
    </row>
    <row r="19">
      <c r="A19" s="11" t="inlineStr">
        <is>
          <t>Photography ($/trainer)</t>
        </is>
      </c>
      <c r="B19" s="15" t="n">
        <v>100</v>
      </c>
      <c r="C19" s="15" t="n">
        <v>100</v>
      </c>
      <c r="D19" s="15" t="n">
        <v>100</v>
      </c>
      <c r="E19" s="15" t="n">
        <v>100</v>
      </c>
      <c r="F19" s="15" t="n">
        <v>100</v>
      </c>
      <c r="G19" s="15" t="n">
        <v>100</v>
      </c>
    </row>
    <row r="20">
      <c r="A20" s="13" t="inlineStr">
        <is>
          <t>Total Onboarding Costs</t>
        </is>
      </c>
      <c r="B20" s="14">
        <f>B17*(B18+B19)</f>
        <v/>
      </c>
      <c r="C20" s="14">
        <f>C17*(C18+C19)</f>
        <v/>
      </c>
      <c r="D20" s="14">
        <f>D17*(D18+D19)</f>
        <v/>
      </c>
      <c r="E20" s="14">
        <f>E17*(E18+E19)</f>
        <v/>
      </c>
      <c r="F20" s="14">
        <f>F17*(F18+F19)</f>
        <v/>
      </c>
      <c r="G20" s="14">
        <f>G17*(G18+G19)</f>
        <v/>
      </c>
    </row>
    <row r="22">
      <c r="A22" s="18" t="inlineStr">
        <is>
          <t>TOTAL MONTHLY COSTS</t>
        </is>
      </c>
      <c r="B22" s="19">
        <f>B13+B20</f>
        <v/>
      </c>
      <c r="C22" s="19">
        <f>C13+C20</f>
        <v/>
      </c>
      <c r="D22" s="19">
        <f>D13+D20</f>
        <v/>
      </c>
      <c r="E22" s="19">
        <f>E13+E20</f>
        <v/>
      </c>
      <c r="F22" s="19">
        <f>F13+F20</f>
        <v/>
      </c>
      <c r="G22" s="19">
        <f>G13+G20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Profit &amp; Loss Summary (8% Fee Scenario)</t>
        </is>
      </c>
    </row>
    <row r="3">
      <c r="A3" s="3" t="inlineStr">
        <is>
          <t>REVENUE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>Line Item</t>
        </is>
      </c>
      <c r="B4" s="5" t="inlineStr">
        <is>
          <t>Month 1</t>
        </is>
      </c>
      <c r="C4" s="5" t="inlineStr">
        <is>
          <t>Month 3</t>
        </is>
      </c>
      <c r="D4" s="5" t="inlineStr">
        <is>
          <t>Month 6</t>
        </is>
      </c>
      <c r="E4" s="5" t="inlineStr">
        <is>
          <t>Month 12</t>
        </is>
      </c>
      <c r="F4" s="5" t="inlineStr">
        <is>
          <t>Month 18</t>
        </is>
      </c>
      <c r="G4" s="5" t="inlineStr">
        <is>
          <t>Month 24</t>
        </is>
      </c>
    </row>
    <row r="5">
      <c r="A5" s="13" t="inlineStr">
        <is>
          <t>GMV</t>
        </is>
      </c>
      <c r="B5" s="17">
        <f>'Revenue Model'!B10</f>
        <v/>
      </c>
      <c r="C5" s="17">
        <f>'Revenue Model'!C10</f>
        <v/>
      </c>
      <c r="D5" s="17">
        <f>'Revenue Model'!D10</f>
        <v/>
      </c>
      <c r="E5" s="17">
        <f>'Revenue Model'!E10</f>
        <v/>
      </c>
      <c r="F5" s="17">
        <f>'Revenue Model'!F10</f>
        <v/>
      </c>
      <c r="G5" s="17">
        <f>'Revenue Model'!G10</f>
        <v/>
      </c>
    </row>
    <row r="6">
      <c r="A6" s="13" t="inlineStr">
        <is>
          <t>Platform Fee Revenue (8%)</t>
        </is>
      </c>
      <c r="B6" s="17">
        <f>'Revenue Model'!B17</f>
        <v/>
      </c>
      <c r="C6" s="17">
        <f>'Revenue Model'!C17</f>
        <v/>
      </c>
      <c r="D6" s="17">
        <f>'Revenue Model'!D17</f>
        <v/>
      </c>
      <c r="E6" s="17">
        <f>'Revenue Model'!E17</f>
        <v/>
      </c>
      <c r="F6" s="17">
        <f>'Revenue Model'!F17</f>
        <v/>
      </c>
      <c r="G6" s="17">
        <f>'Revenue Model'!G17</f>
        <v/>
      </c>
    </row>
    <row r="7">
      <c r="A7" s="13" t="inlineStr">
        <is>
          <t>Subscription Revenue</t>
        </is>
      </c>
      <c r="B7" s="17">
        <f>'Revenue Model'!B28</f>
        <v/>
      </c>
      <c r="C7" s="17">
        <f>'Revenue Model'!C28</f>
        <v/>
      </c>
      <c r="D7" s="17">
        <f>'Revenue Model'!D28</f>
        <v/>
      </c>
      <c r="E7" s="17">
        <f>'Revenue Model'!E28</f>
        <v/>
      </c>
      <c r="F7" s="17">
        <f>'Revenue Model'!F28</f>
        <v/>
      </c>
      <c r="G7" s="17">
        <f>'Revenue Model'!G28</f>
        <v/>
      </c>
    </row>
    <row r="8">
      <c r="A8" s="32" t="inlineStr">
        <is>
          <t>TOTAL REVENUE</t>
        </is>
      </c>
      <c r="B8" s="33">
        <f>B6+B7</f>
        <v/>
      </c>
      <c r="C8" s="33">
        <f>C6+C7</f>
        <v/>
      </c>
      <c r="D8" s="33">
        <f>D6+D7</f>
        <v/>
      </c>
      <c r="E8" s="33">
        <f>E6+E7</f>
        <v/>
      </c>
      <c r="F8" s="33">
        <f>F6+F7</f>
        <v/>
      </c>
      <c r="G8" s="33">
        <f>G6+G7</f>
        <v/>
      </c>
    </row>
    <row r="10">
      <c r="A10" s="3" t="inlineStr">
        <is>
          <t>COSTS</t>
        </is>
      </c>
      <c r="B10" s="4" t="n"/>
      <c r="C10" s="4" t="n"/>
      <c r="D10" s="4" t="n"/>
      <c r="E10" s="4" t="n"/>
      <c r="F10" s="4" t="n"/>
      <c r="G10" s="4" t="n"/>
    </row>
    <row r="11">
      <c r="A11" s="13" t="inlineStr">
        <is>
          <t>Payment Processing (blended)</t>
        </is>
      </c>
      <c r="B11" s="17">
        <f>'Revenue Model'!B8*'Payment Processing'!C29</f>
        <v/>
      </c>
      <c r="C11" s="17">
        <f>'Revenue Model'!C8*'Payment Processing'!C29</f>
        <v/>
      </c>
      <c r="D11" s="17">
        <f>'Revenue Model'!D8*'Payment Processing'!C29</f>
        <v/>
      </c>
      <c r="E11" s="17">
        <f>'Revenue Model'!E8*'Payment Processing'!C29</f>
        <v/>
      </c>
      <c r="F11" s="17">
        <f>'Revenue Model'!F8*'Payment Processing'!C29</f>
        <v/>
      </c>
      <c r="G11" s="17">
        <f>'Revenue Model'!G8*'Payment Processing'!C29</f>
        <v/>
      </c>
    </row>
    <row r="12">
      <c r="A12" s="13" t="inlineStr">
        <is>
          <t>Operating Costs</t>
        </is>
      </c>
      <c r="B12" s="17">
        <f>'Operating Costs'!B22</f>
        <v/>
      </c>
      <c r="C12" s="17">
        <f>'Operating Costs'!C22</f>
        <v/>
      </c>
      <c r="D12" s="17">
        <f>'Operating Costs'!D22</f>
        <v/>
      </c>
      <c r="E12" s="17">
        <f>'Operating Costs'!E22</f>
        <v/>
      </c>
      <c r="F12" s="17">
        <f>'Operating Costs'!F22</f>
        <v/>
      </c>
      <c r="G12" s="17">
        <f>'Operating Costs'!G22</f>
        <v/>
      </c>
    </row>
    <row r="13">
      <c r="A13" s="34" t="inlineStr">
        <is>
          <t>TOTAL COSTS</t>
        </is>
      </c>
      <c r="B13" s="35">
        <f>B11+B12</f>
        <v/>
      </c>
      <c r="C13" s="35">
        <f>C11+C12</f>
        <v/>
      </c>
      <c r="D13" s="35">
        <f>D11+D12</f>
        <v/>
      </c>
      <c r="E13" s="35">
        <f>E11+E12</f>
        <v/>
      </c>
      <c r="F13" s="35">
        <f>F11+F12</f>
        <v/>
      </c>
      <c r="G13" s="35">
        <f>G11+G12</f>
        <v/>
      </c>
    </row>
    <row r="15">
      <c r="A15" s="18" t="inlineStr">
        <is>
          <t>NET PROFIT / (LOSS)</t>
        </is>
      </c>
      <c r="B15" s="36">
        <f>B8-B13</f>
        <v/>
      </c>
      <c r="C15" s="36">
        <f>C8-C13</f>
        <v/>
      </c>
      <c r="D15" s="36">
        <f>D8-D13</f>
        <v/>
      </c>
      <c r="E15" s="36">
        <f>E8-E13</f>
        <v/>
      </c>
      <c r="F15" s="36">
        <f>F8-F13</f>
        <v/>
      </c>
      <c r="G15" s="36">
        <f>G8-G13</f>
        <v/>
      </c>
    </row>
    <row r="16">
      <c r="A16" s="13" t="inlineStr">
        <is>
          <t>Net Margin</t>
        </is>
      </c>
      <c r="B16" s="37">
        <f>IF(B8=0,0,B15/B8)</f>
        <v/>
      </c>
      <c r="C16" s="37">
        <f>IF(C8=0,0,C15/C8)</f>
        <v/>
      </c>
      <c r="D16" s="37">
        <f>IF(D8=0,0,D15/D8)</f>
        <v/>
      </c>
      <c r="E16" s="37">
        <f>IF(E8=0,0,E15/E8)</f>
        <v/>
      </c>
      <c r="F16" s="37">
        <f>IF(F8=0,0,F15/F8)</f>
        <v/>
      </c>
      <c r="G16" s="37">
        <f>IF(G8=0,0,G15/G8)</f>
        <v/>
      </c>
    </row>
    <row r="18">
      <c r="A18" s="3" t="inlineStr">
        <is>
          <t>KEY METRICS</t>
        </is>
      </c>
      <c r="B18" s="4" t="n"/>
      <c r="C18" s="4" t="n"/>
      <c r="D18" s="4" t="n"/>
      <c r="E18" s="4" t="n"/>
      <c r="F18" s="4" t="n"/>
      <c r="G18" s="4" t="n"/>
    </row>
    <row r="19">
      <c r="A19" s="5" t="inlineStr">
        <is>
          <t>Metric</t>
        </is>
      </c>
      <c r="B19" s="5" t="inlineStr">
        <is>
          <t>Month 1</t>
        </is>
      </c>
      <c r="C19" s="5" t="inlineStr">
        <is>
          <t>Month 3</t>
        </is>
      </c>
      <c r="D19" s="5" t="inlineStr">
        <is>
          <t>Month 6</t>
        </is>
      </c>
      <c r="E19" s="5" t="inlineStr">
        <is>
          <t>Month 12</t>
        </is>
      </c>
      <c r="F19" s="5" t="inlineStr">
        <is>
          <t>Month 18</t>
        </is>
      </c>
      <c r="G19" s="5" t="inlineStr">
        <is>
          <t>Month 24</t>
        </is>
      </c>
    </row>
    <row r="20">
      <c r="A20" s="13" t="inlineStr">
        <is>
          <t>Revenue per Trainer / Month</t>
        </is>
      </c>
      <c r="B20" s="38">
        <f>IF('Revenue Model'!B6=0,0,B8/'Revenue Model'!B6)</f>
        <v/>
      </c>
      <c r="C20" s="38">
        <f>IF('Revenue Model'!C6=0,0,C8/'Revenue Model'!C6)</f>
        <v/>
      </c>
      <c r="D20" s="38">
        <f>IF('Revenue Model'!D6=0,0,D8/'Revenue Model'!D6)</f>
        <v/>
      </c>
      <c r="E20" s="38">
        <f>IF('Revenue Model'!E6=0,0,E8/'Revenue Model'!E6)</f>
        <v/>
      </c>
      <c r="F20" s="38">
        <f>IF('Revenue Model'!F6=0,0,F8/'Revenue Model'!F6)</f>
        <v/>
      </c>
      <c r="G20" s="38">
        <f>IF('Revenue Model'!G6=0,0,G8/'Revenue Model'!G6)</f>
        <v/>
      </c>
    </row>
    <row r="21">
      <c r="A21" s="13" t="inlineStr">
        <is>
          <t>Revenue per Booking</t>
        </is>
      </c>
      <c r="B21" s="38">
        <f>IF('Revenue Model'!B8=0,0,B8/'Revenue Model'!B8)</f>
        <v/>
      </c>
      <c r="C21" s="38">
        <f>IF('Revenue Model'!C8=0,0,C8/'Revenue Model'!C8)</f>
        <v/>
      </c>
      <c r="D21" s="38">
        <f>IF('Revenue Model'!D8=0,0,D8/'Revenue Model'!D8)</f>
        <v/>
      </c>
      <c r="E21" s="38">
        <f>IF('Revenue Model'!E8=0,0,E8/'Revenue Model'!E8)</f>
        <v/>
      </c>
      <c r="F21" s="38">
        <f>IF('Revenue Model'!F8=0,0,F8/'Revenue Model'!F8)</f>
        <v/>
      </c>
      <c r="G21" s="38">
        <f>IF('Revenue Model'!G8=0,0,G8/'Revenue Model'!G8)</f>
        <v/>
      </c>
    </row>
    <row r="22">
      <c r="A22" s="13" t="inlineStr">
        <is>
          <t>Cost per Booking</t>
        </is>
      </c>
      <c r="B22" s="38">
        <f>IF('Revenue Model'!B8=0,0,B13/'Revenue Model'!B8)</f>
        <v/>
      </c>
      <c r="C22" s="38">
        <f>IF('Revenue Model'!C8=0,0,C13/'Revenue Model'!C8)</f>
        <v/>
      </c>
      <c r="D22" s="38">
        <f>IF('Revenue Model'!D8=0,0,D13/'Revenue Model'!D8)</f>
        <v/>
      </c>
      <c r="E22" s="38">
        <f>IF('Revenue Model'!E8=0,0,E13/'Revenue Model'!E8)</f>
        <v/>
      </c>
      <c r="F22" s="38">
        <f>IF('Revenue Model'!F8=0,0,F13/'Revenue Model'!F8)</f>
        <v/>
      </c>
      <c r="G22" s="38">
        <f>IF('Revenue Model'!G8=0,0,G13/'Revenue Model'!G8)</f>
        <v/>
      </c>
    </row>
    <row r="23">
      <c r="A23" s="13" t="inlineStr">
        <is>
          <t>Effective Take Rate (incl. subs)</t>
        </is>
      </c>
      <c r="B23" s="37">
        <f>IF(B5=0,0,B8/B5)</f>
        <v/>
      </c>
      <c r="C23" s="37">
        <f>IF(C5=0,0,C8/C5)</f>
        <v/>
      </c>
      <c r="D23" s="37">
        <f>IF(D5=0,0,D8/D5)</f>
        <v/>
      </c>
      <c r="E23" s="37">
        <f>IF(E5=0,0,E8/E5)</f>
        <v/>
      </c>
      <c r="F23" s="37">
        <f>IF(F5=0,0,F8/F5)</f>
        <v/>
      </c>
      <c r="G23" s="37">
        <f>IF(G5=0,0,G8/G5)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Key Assumptions &amp; Notes</t>
        </is>
      </c>
    </row>
    <row r="3">
      <c r="A3" s="39" t="inlineStr">
        <is>
          <t>Geography</t>
        </is>
      </c>
      <c r="B3" s="40" t="inlineStr">
        <is>
          <t>US launch, single city first (hyper-local)</t>
        </is>
      </c>
    </row>
    <row r="4">
      <c r="A4" s="39" t="inlineStr">
        <is>
          <t>Session Rate</t>
        </is>
      </c>
      <c r="B4" s="40" t="inlineStr">
        <is>
          <t>Trainer-set "optimized rate" — never called a discount</t>
        </is>
      </c>
    </row>
    <row r="5">
      <c r="A5" s="39" t="inlineStr">
        <is>
          <t>Platform Fee</t>
        </is>
      </c>
      <c r="B5" s="40" t="inlineStr">
        <is>
          <t>8% recommended. Below gyms (30-60%) and ClassPass (20-30%)</t>
        </is>
      </c>
    </row>
    <row r="6">
      <c r="A6" s="39" t="inlineStr">
        <is>
          <t>Subscription</t>
        </is>
      </c>
      <c r="B6" s="40" t="inlineStr">
        <is>
          <t>$5/mo for analytics, slot boost, featured, instant payouts</t>
        </is>
      </c>
    </row>
    <row r="7">
      <c r="A7" s="39" t="inlineStr">
        <is>
          <t>Processing</t>
        </is>
      </c>
      <c r="B7" s="40" t="inlineStr">
        <is>
          <t>Costs passed to payer. Incentivize debit/Zelle/Venmo</t>
        </is>
      </c>
    </row>
    <row r="8">
      <c r="A8" s="39" t="inlineStr">
        <is>
          <t>Background Check</t>
        </is>
      </c>
      <c r="B8" s="40" t="inlineStr">
        <is>
          <t>$25-50/trainer, one-time at onboarding</t>
        </is>
      </c>
    </row>
    <row r="9">
      <c r="A9" s="39" t="inlineStr">
        <is>
          <t>Photography</t>
        </is>
      </c>
      <c r="B9" s="40" t="inlineStr">
        <is>
          <t>Professional or AI-enhanced. ~$100/trainer</t>
        </is>
      </c>
    </row>
    <row r="10">
      <c r="A10" s="39" t="inlineStr">
        <is>
          <t>Trainer Churn</t>
        </is>
      </c>
      <c r="B10" s="40" t="inlineStr">
        <is>
          <t>80% industry first-year quit rate. Model shows net growth</t>
        </is>
      </c>
    </row>
    <row r="11">
      <c r="A11" s="39" t="inlineStr">
        <is>
          <t>Bookings/Trainer</t>
        </is>
      </c>
      <c r="B11" s="40" t="inlineStr">
        <is>
          <t>Conservative 4/mo start, 14/mo at scale</t>
        </is>
      </c>
    </row>
    <row r="12">
      <c r="A12" s="39" t="inlineStr">
        <is>
          <t>Cold Start</t>
        </is>
      </c>
      <c r="B12" s="40" t="inlineStr">
        <is>
          <t>Months 1-3 require heavy marketing to seed supply</t>
        </is>
      </c>
    </row>
    <row r="13">
      <c r="A13" s="39" t="inlineStr">
        <is>
          <t>AI Phase 1</t>
        </is>
      </c>
      <c r="B13" s="40" t="inlineStr">
        <is>
          <t>Calendar sync + idle detection. No ML needed</t>
        </is>
      </c>
    </row>
    <row r="14">
      <c r="A14" s="39" t="inlineStr">
        <is>
          <t>AI Phase 2+</t>
        </is>
      </c>
      <c r="B14" s="40" t="inlineStr">
        <is>
          <t>Pattern analysis, demand heatmaps, smart pricing</t>
        </is>
      </c>
    </row>
    <row r="15">
      <c r="A15" s="39" t="inlineStr">
        <is>
          <t>Competitor</t>
        </is>
      </c>
      <c r="B15" s="40" t="inlineStr">
        <is>
          <t>Fyt — similar concept, poor UX, no AI, no luxury</t>
        </is>
      </c>
    </row>
    <row r="16">
      <c r="A16" s="39" t="inlineStr">
        <is>
          <t>Positioning</t>
        </is>
      </c>
      <c r="B16" s="40" t="inlineStr">
        <is>
          <t>"Optimized rates" not "discounts." Luxury brand</t>
        </is>
      </c>
    </row>
    <row r="17">
      <c r="A17" s="39" t="inlineStr">
        <is>
          <t>IC Status</t>
        </is>
      </c>
      <c r="B17" s="40" t="inlineStr">
        <is>
          <t>Trainers set own rates. No forced pricing</t>
        </is>
      </c>
    </row>
    <row r="18">
      <c r="A18" s="39" t="inlineStr">
        <is>
          <t>Payments</t>
        </is>
      </c>
      <c r="B18" s="40" t="inlineStr">
        <is>
          <t>Stripe Connect + Zelle + Venmo for lower costs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2026-03-10T06:31:20Z</dcterms:created>
  <dcterms:modified xsi:type="dcterms:W3CDTF">2026-03-10T06:31:20Z</dcterms:modified>
</cp:coreProperties>
</file>